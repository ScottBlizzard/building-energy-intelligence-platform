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-PV-AC图表" sheetId="1" state="visible" r:id="rId1"/>
    <sheet xmlns:r="http://schemas.openxmlformats.org/officeDocument/2006/relationships" name="曲线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color rgb="00374151"/>
    </font>
    <font>
      <name val="Microsoft YaHei"/>
      <b val="1"/>
      <color rgb="00FFFFFF"/>
      <sz val="16"/>
    </font>
    <font>
      <name val="Microsoft YaHei"/>
      <color rgb="00374151"/>
      <sz val="10"/>
    </font>
    <font>
      <name val="Microsoft YaHei"/>
      <b val="1"/>
      <color rgb="00111827"/>
    </font>
    <font>
      <name val="Microsoft YaHei"/>
      <color rgb="00111827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9FAFB"/>
      </patternFill>
    </fill>
    <fill>
      <patternFill patternType="solid">
        <fgColor rgb="00E5E7EB"/>
      </patternFill>
    </fill>
    <fill>
      <patternFill patternType="solid">
        <fgColor rgb="006B7280"/>
      </patternFill>
    </fill>
    <fill>
      <patternFill patternType="solid">
        <fgColor rgb="002563EB"/>
      </patternFill>
    </fill>
    <fill>
      <patternFill patternType="solid">
        <fgColor rgb="00DC2626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medium">
        <color rgb="009CA3AF"/>
      </top>
      <bottom style="medium">
        <color rgb="009CA3AF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5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/>
    </xf>
    <xf numFmtId="1" fontId="6" fillId="0" borderId="2" applyAlignment="1" pivotButton="0" quotePrefix="0" xfId="0">
      <alignment horizontal="center"/>
    </xf>
    <xf numFmtId="1" fontId="1" fillId="5" borderId="2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1" fontId="1" fillId="6" borderId="2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1" fontId="1" fillId="7" borderId="2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EV-PV-AC 挣值分析曲线（累计人时）</a:t>
            </a:r>
          </a:p>
        </rich>
      </tx>
    </title>
    <plotArea>
      <scatterChart>
        <ser>
          <idx val="0"/>
          <order val="0"/>
          <tx>
            <v>PV 计划价值</v>
          </tx>
          <spPr>
            <a:ln xmlns:a="http://schemas.openxmlformats.org/drawingml/2006/main" w="26000">
              <a:solidFill>
                <a:srgbClr val="6B728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6B7280"/>
              </a:solidFill>
              <a:ln xmlns:a="http://schemas.openxmlformats.org/drawingml/2006/main">
                <a:solidFill>
                  <a:srgbClr val="6B7280"/>
                </a:solidFill>
                <a:prstDash val="solid"/>
              </a:ln>
            </spPr>
          </marker>
          <xVal>
            <numRef>
              <f>'曲线数据'!$A$2:$A$9</f>
            </numRef>
          </xVal>
          <yVal>
            <numRef>
              <f>'曲线数据'!$C$2:$C$9</f>
            </numRef>
          </yVal>
        </ser>
        <ser>
          <idx val="1"/>
          <order val="1"/>
          <tx>
            <v>EV 挣值</v>
          </tx>
          <spPr>
            <a:ln xmlns:a="http://schemas.openxmlformats.org/drawingml/2006/main" w="26000">
              <a:solidFill>
                <a:srgbClr val="2563E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solidFill>
                  <a:srgbClr val="2563EB"/>
                </a:solidFill>
                <a:prstDash val="solid"/>
              </a:ln>
            </spPr>
          </marker>
          <xVal>
            <numRef>
              <f>'曲线数据'!$A$2:$A$9</f>
            </numRef>
          </xVal>
          <yVal>
            <numRef>
              <f>'曲线数据'!$D$2:$D$9</f>
            </numRef>
          </yVal>
        </ser>
        <ser>
          <idx val="2"/>
          <order val="2"/>
          <tx>
            <v>AC 实际成本</v>
          </tx>
          <spPr>
            <a:ln xmlns:a="http://schemas.openxmlformats.org/drawingml/2006/main" w="26000">
              <a:solidFill>
                <a:srgbClr val="DC262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solidFill>
                  <a:srgbClr val="DC2626"/>
                </a:solidFill>
                <a:prstDash val="solid"/>
              </a:ln>
            </spPr>
          </marker>
          <xVal>
            <numRef>
              <f>'曲线数据'!$A$2:$A$9</f>
            </numRef>
          </xVal>
          <yVal>
            <numRef>
              <f>'曲线数据'!$E$2:$E$9</f>
            </numRef>
          </yVal>
        </ser>
        <ser>
          <idx val="3"/>
          <order val="3"/>
          <tx>
            <v>状态周（第8周）</v>
          </tx>
          <spPr>
            <a:ln xmlns:a="http://schemas.openxmlformats.org/drawingml/2006/main" w="18000">
              <a:solidFill>
                <a:srgbClr val="F59E0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'曲线数据'!$G$2:$G$3</f>
            </numRef>
          </xVal>
          <yVal>
            <numRef>
              <f>'曲线数据'!$H$2:$H$3</f>
            </numRef>
          </yVal>
        </ser>
        <axId val="10"/>
        <axId val="20"/>
      </scatterChart>
      <valAx>
        <axId val="10"/>
        <scaling>
          <orientation val="minMax"/>
          <max val="8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周数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22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累计人时</a:t>
                </a:r>
              </a:p>
            </rich>
          </tx>
        </title>
        <majorTickMark val="none"/>
        <minorTickMark val="none"/>
        <crossAx val="10"/>
        <majorUnit val="2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0"/>
  <sheetViews>
    <sheetView showGridLines="0"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基于大模型的建筑能源智能管理与运维优化系统 EV-PV-AC 挣值分析曲线</t>
        </is>
      </c>
    </row>
    <row r="2" ht="24" customHeight="1">
      <c r="A2" s="2" t="inlineStr">
        <is>
          <t>横轴保持为周数，纵轴保持为累计人时。PV、EV、AC 数据对应 SEM 第 6.7 节；第4周和第6周为连续曲线平滑补点，第8周为状态周。</t>
        </is>
      </c>
    </row>
    <row r="34">
      <c r="A34" s="3" t="inlineStr">
        <is>
          <t>EV-PV-AC 数据点（单位：人时）</t>
        </is>
      </c>
    </row>
    <row r="35">
      <c r="A35" s="4" t="inlineStr">
        <is>
          <t>指标</t>
        </is>
      </c>
      <c r="B35" s="4" t="inlineStr">
        <is>
          <t>第1周</t>
        </is>
      </c>
      <c r="C35" s="4" t="inlineStr">
        <is>
          <t>第2周</t>
        </is>
      </c>
      <c r="D35" s="4" t="inlineStr">
        <is>
          <t>第3周</t>
        </is>
      </c>
      <c r="E35" s="4" t="inlineStr">
        <is>
          <t>第4周</t>
        </is>
      </c>
      <c r="F35" s="4" t="inlineStr">
        <is>
          <t>第5周</t>
        </is>
      </c>
      <c r="G35" s="4" t="inlineStr">
        <is>
          <t>第6周</t>
        </is>
      </c>
      <c r="H35" s="4" t="inlineStr">
        <is>
          <t>第7周</t>
        </is>
      </c>
      <c r="I35" s="4" t="inlineStr">
        <is>
          <t>第8周</t>
        </is>
      </c>
    </row>
    <row r="36">
      <c r="A36" s="5" t="inlineStr">
        <is>
          <t>PV 计划价值</t>
        </is>
      </c>
      <c r="B36" s="6" t="n">
        <v>386</v>
      </c>
      <c r="C36" s="6" t="n">
        <v>579</v>
      </c>
      <c r="D36" s="6" t="n">
        <v>771</v>
      </c>
      <c r="E36" s="6" t="n">
        <v>964</v>
      </c>
      <c r="F36" s="6" t="n">
        <v>1157</v>
      </c>
      <c r="G36" s="6" t="n">
        <v>1370</v>
      </c>
      <c r="H36" s="6" t="n">
        <v>1582</v>
      </c>
      <c r="I36" s="7" t="n">
        <v>1929</v>
      </c>
    </row>
    <row r="37">
      <c r="A37" s="8" t="inlineStr">
        <is>
          <t>EV 挣值</t>
        </is>
      </c>
      <c r="B37" s="6" t="n">
        <v>328</v>
      </c>
      <c r="C37" s="6" t="n">
        <v>501</v>
      </c>
      <c r="D37" s="6" t="n">
        <v>694</v>
      </c>
      <c r="E37" s="6" t="n">
        <v>911</v>
      </c>
      <c r="F37" s="6" t="n">
        <v>1127</v>
      </c>
      <c r="G37" s="6" t="n">
        <v>1335</v>
      </c>
      <c r="H37" s="6" t="n">
        <v>1543</v>
      </c>
      <c r="I37" s="9" t="n">
        <v>1910</v>
      </c>
    </row>
    <row r="38">
      <c r="A38" s="10" t="inlineStr">
        <is>
          <t>AC 实际成本</t>
        </is>
      </c>
      <c r="B38" s="6" t="n">
        <v>405</v>
      </c>
      <c r="C38" s="6" t="n">
        <v>637</v>
      </c>
      <c r="D38" s="6" t="n">
        <v>849</v>
      </c>
      <c r="E38" s="6" t="n">
        <v>1071</v>
      </c>
      <c r="F38" s="6" t="n">
        <v>1293</v>
      </c>
      <c r="G38" s="6" t="n">
        <v>1496</v>
      </c>
      <c r="H38" s="6" t="n">
        <v>1698</v>
      </c>
      <c r="I38" s="11" t="n">
        <v>2102</v>
      </c>
    </row>
    <row r="40">
      <c r="A40" s="12" t="inlineStr">
        <is>
          <t>说明：纵轴为累计人时，横轴为周数；状态周为第8周，最终 PV=1929 人时、EV=1910 人时、AC=2102 人时。</t>
        </is>
      </c>
    </row>
  </sheetData>
  <mergeCells count="4">
    <mergeCell ref="A2:Q2"/>
    <mergeCell ref="A34:Q34"/>
    <mergeCell ref="A1:Q1"/>
    <mergeCell ref="A40:Q4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8" customWidth="1" min="4" max="4"/>
    <col width="20" customWidth="1" min="5" max="5"/>
    <col width="58" customWidth="1" min="6" max="6"/>
    <col width="12" customWidth="1" min="7" max="7"/>
    <col width="12" customWidth="1" min="8" max="8"/>
  </cols>
  <sheetData>
    <row r="1">
      <c r="A1" s="13" t="inlineStr">
        <is>
          <t>周数</t>
        </is>
      </c>
      <c r="B1" s="13" t="inlineStr">
        <is>
          <t>周期</t>
        </is>
      </c>
      <c r="C1" s="13" t="inlineStr">
        <is>
          <t>PV 计划价值（人时）</t>
        </is>
      </c>
      <c r="D1" s="13" t="inlineStr">
        <is>
          <t>EV 挣值（人时）</t>
        </is>
      </c>
      <c r="E1" s="13" t="inlineStr">
        <is>
          <t>AC 实际成本（人时）</t>
        </is>
      </c>
      <c r="F1" s="13" t="inlineStr">
        <is>
          <t>说明</t>
        </is>
      </c>
      <c r="G1" s="13" t="inlineStr">
        <is>
          <t>状态周 X</t>
        </is>
      </c>
      <c r="H1" s="13" t="inlineStr">
        <is>
          <t>状态线 Y</t>
        </is>
      </c>
    </row>
    <row r="2" ht="34" customHeight="1">
      <c r="A2" s="14" t="n">
        <v>1</v>
      </c>
      <c r="B2" s="14" t="inlineStr">
        <is>
          <t>第1周</t>
        </is>
      </c>
      <c r="C2" s="15" t="n">
        <v>386</v>
      </c>
      <c r="D2" s="15" t="n">
        <v>328</v>
      </c>
      <c r="E2" s="15" t="n">
        <v>405</v>
      </c>
      <c r="F2" s="16" t="inlineStr">
        <is>
          <t>工程基础、数据资产、查询分析和前端工作台同步启动。</t>
        </is>
      </c>
      <c r="G2" s="14" t="n">
        <v>8</v>
      </c>
      <c r="H2" s="15" t="n">
        <v>0</v>
      </c>
    </row>
    <row r="3" ht="34" customHeight="1">
      <c r="A3" s="14" t="n">
        <v>2</v>
      </c>
      <c r="B3" s="14" t="inlineStr">
        <is>
          <t>第2周</t>
        </is>
      </c>
      <c r="C3" s="15" t="n">
        <v>579</v>
      </c>
      <c r="D3" s="15" t="n">
        <v>501</v>
      </c>
      <c r="E3" s="15" t="n">
        <v>637</v>
      </c>
      <c r="F3" s="16" t="inlineStr">
        <is>
          <t>依赖补齐与本地启动说明继续完善，AC 高于 EV。</t>
        </is>
      </c>
      <c r="G3" s="14" t="n">
        <v>8</v>
      </c>
      <c r="H3" s="15" t="n">
        <v>2200</v>
      </c>
    </row>
    <row r="4" ht="34" customHeight="1">
      <c r="A4" s="14" t="n">
        <v>3</v>
      </c>
      <c r="B4" s="14" t="inlineStr">
        <is>
          <t>第3周</t>
        </is>
      </c>
      <c r="C4" s="15" t="n">
        <v>771</v>
      </c>
      <c r="D4" s="15" t="n">
        <v>694</v>
      </c>
      <c r="E4" s="15" t="n">
        <v>849</v>
      </c>
      <c r="F4" s="16" t="inlineStr">
        <is>
          <t>数据资产计划节点完成，进入数据质量和知识库补强。</t>
        </is>
      </c>
      <c r="G4" s="14" t="n"/>
      <c r="H4" s="15" t="n"/>
    </row>
    <row r="5" ht="34" customHeight="1">
      <c r="A5" s="14" t="n">
        <v>4</v>
      </c>
      <c r="B5" s="14" t="inlineStr">
        <is>
          <t>第4周</t>
        </is>
      </c>
      <c r="C5" s="15" t="n">
        <v>964</v>
      </c>
      <c r="D5" s="15" t="n">
        <v>911</v>
      </c>
      <c r="E5" s="15" t="n">
        <v>1071</v>
      </c>
      <c r="F5" s="16" t="inlineStr">
        <is>
          <t>第4周为相邻阶段平滑补点，用于形成连续周曲线。</t>
        </is>
      </c>
      <c r="G5" s="14" t="n"/>
      <c r="H5" s="15" t="n"/>
    </row>
    <row r="6" ht="34" customHeight="1">
      <c r="A6" s="14" t="n">
        <v>5</v>
      </c>
      <c r="B6" s="14" t="inlineStr">
        <is>
          <t>第5周</t>
        </is>
      </c>
      <c r="C6" s="15" t="n">
        <v>1157</v>
      </c>
      <c r="D6" s="15" t="n">
        <v>1127</v>
      </c>
      <c r="E6" s="15" t="n">
        <v>1293</v>
      </c>
      <c r="F6" s="16" t="inlineStr">
        <is>
          <t>WBS 3.0 实际延伸至第5周，数据口径继续收敛。</t>
        </is>
      </c>
      <c r="G6" s="14" t="n"/>
      <c r="H6" s="15" t="n"/>
    </row>
    <row r="7" ht="34" customHeight="1">
      <c r="A7" s="14" t="n">
        <v>6</v>
      </c>
      <c r="B7" s="14" t="inlineStr">
        <is>
          <t>第6周</t>
        </is>
      </c>
      <c r="C7" s="15" t="n">
        <v>1370</v>
      </c>
      <c r="D7" s="15" t="n">
        <v>1335</v>
      </c>
      <c r="E7" s="15" t="n">
        <v>1496</v>
      </c>
      <c r="F7" s="16" t="inlineStr">
        <is>
          <t>第6周为查询分析与前端收敛阶段平滑补点。</t>
        </is>
      </c>
      <c r="G7" s="14" t="n"/>
      <c r="H7" s="15" t="n"/>
    </row>
    <row r="8" ht="34" customHeight="1">
      <c r="A8" s="14" t="n">
        <v>7</v>
      </c>
      <c r="B8" s="14" t="inlineStr">
        <is>
          <t>第7周</t>
        </is>
      </c>
      <c r="C8" s="15" t="n">
        <v>1582</v>
      </c>
      <c r="D8" s="15" t="n">
        <v>1543</v>
      </c>
      <c r="E8" s="15" t="n">
        <v>1698</v>
      </c>
      <c r="F8" s="16" t="inlineStr">
        <is>
          <t>WBS 8.0、9.0 计划收口，测试验收启动。</t>
        </is>
      </c>
      <c r="G8" s="14" t="n"/>
      <c r="H8" s="15" t="n"/>
    </row>
    <row r="9" ht="34" customHeight="1">
      <c r="A9" s="14" t="n">
        <v>8</v>
      </c>
      <c r="B9" s="14" t="inlineStr">
        <is>
          <t>第8周</t>
        </is>
      </c>
      <c r="C9" s="15" t="n">
        <v>1929</v>
      </c>
      <c r="D9" s="15" t="n">
        <v>1910</v>
      </c>
      <c r="E9" s="15" t="n">
        <v>2102</v>
      </c>
      <c r="F9" s="16" t="inlineStr">
        <is>
          <t>状态周：角色闭环、预算 ROI、MCP 补强、持久化和结项交付完成。</t>
        </is>
      </c>
      <c r="G9" s="14" t="n"/>
      <c r="H9" s="15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2026-06-15T09:09:38Z</dcterms:created>
  <dcterms:modified xmlns:dcterms="http://purl.org/dc/terms/" xmlns:xsi="http://www.w3.org/2001/XMLSchema-instance" xsi:type="dcterms:W3CDTF">2026-06-15T09:09:38Z</dcterms:modified>
</cp:coreProperties>
</file>